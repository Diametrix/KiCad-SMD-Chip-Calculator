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rigoryevA\Documents\Dropbox\Hardware design\"/>
    </mc:Choice>
  </mc:AlternateContent>
  <bookViews>
    <workbookView xWindow="0" yWindow="0" windowWidth="23040" windowHeight="9408"/>
  </bookViews>
  <sheets>
    <sheet name="Calculator" sheetId="1" r:id="rId1"/>
    <sheet name="Constants" sheetId="2" r:id="rId2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1" i="1"/>
  <c r="B7" i="1" s="1"/>
  <c r="B3" i="1"/>
  <c r="I8" i="1" l="1"/>
  <c r="R20" i="1"/>
  <c r="L20" i="1"/>
  <c r="C20" i="1"/>
  <c r="L16" i="1" s="1"/>
  <c r="L19" i="1"/>
  <c r="R17" i="1"/>
  <c r="C17" i="1"/>
  <c r="I16" i="1"/>
  <c r="I15" i="1"/>
  <c r="R14" i="1"/>
  <c r="C14" i="1"/>
  <c r="L12" i="1" s="1"/>
  <c r="L13" i="1" s="1"/>
  <c r="O16" i="1" l="1"/>
  <c r="K5" i="1" s="1"/>
  <c r="L17" i="1"/>
  <c r="O15" i="1" s="1"/>
  <c r="R19" i="1" s="1"/>
  <c r="R18" i="1" s="1"/>
  <c r="I12" i="1"/>
  <c r="I13" i="1"/>
  <c r="I14" i="1" l="1"/>
  <c r="I17" i="1" s="1"/>
  <c r="I18" i="1" l="1"/>
  <c r="L14" i="1" s="1"/>
  <c r="L15" i="1" s="1"/>
  <c r="O13" i="1" l="1"/>
  <c r="O14" i="1"/>
  <c r="R16" i="1"/>
  <c r="R15" i="1" s="1"/>
  <c r="O12" i="1" l="1"/>
  <c r="R13" i="1" s="1"/>
  <c r="R12" i="1" s="1"/>
</calcChain>
</file>

<file path=xl/sharedStrings.xml><?xml version="1.0" encoding="utf-8"?>
<sst xmlns="http://schemas.openxmlformats.org/spreadsheetml/2006/main" count="172" uniqueCount="89">
  <si>
    <t>Enter Data:</t>
  </si>
  <si>
    <t>Calculation:</t>
  </si>
  <si>
    <t>Result:</t>
  </si>
  <si>
    <t>Lmin</t>
  </si>
  <si>
    <t>Fab Tol +/-</t>
  </si>
  <si>
    <t>Stol =</t>
  </si>
  <si>
    <t>Toe Tol =</t>
  </si>
  <si>
    <t>C =</t>
  </si>
  <si>
    <t>Toe Max =</t>
  </si>
  <si>
    <t>Lmax</t>
  </si>
  <si>
    <t>Place Tol +/-</t>
  </si>
  <si>
    <t>Stol(RMS) =</t>
  </si>
  <si>
    <t>Zmax =</t>
  </si>
  <si>
    <t>X =</t>
  </si>
  <si>
    <t>Toe Min =</t>
  </si>
  <si>
    <t>Lrange =</t>
  </si>
  <si>
    <t>Sdiff =</t>
  </si>
  <si>
    <t>Heel Tol =</t>
  </si>
  <si>
    <t>Y =</t>
  </si>
  <si>
    <t>Toe Goal</t>
  </si>
  <si>
    <t>Tmin</t>
  </si>
  <si>
    <t>Smax =</t>
  </si>
  <si>
    <t>Gmin =</t>
  </si>
  <si>
    <t>Heel Max =</t>
  </si>
  <si>
    <t>Tmax</t>
  </si>
  <si>
    <t>Heel Goal</t>
  </si>
  <si>
    <t>Smin =</t>
  </si>
  <si>
    <t>Side Tol =</t>
  </si>
  <si>
    <t>Heel Min =</t>
  </si>
  <si>
    <t>Trange =</t>
  </si>
  <si>
    <t>Side Goal</t>
  </si>
  <si>
    <t>New Smax =</t>
  </si>
  <si>
    <t>Yref =</t>
  </si>
  <si>
    <t>Wmin</t>
  </si>
  <si>
    <t>New Smin =</t>
  </si>
  <si>
    <t>Side Max =</t>
  </si>
  <si>
    <t>Wmax</t>
  </si>
  <si>
    <t>Place Rnd</t>
  </si>
  <si>
    <t>Place Rnd Factor =</t>
  </si>
  <si>
    <t>Side Min =</t>
  </si>
  <si>
    <t>Wrange =</t>
  </si>
  <si>
    <t>Size Rnd</t>
  </si>
  <si>
    <t>Size Rnd Factor =</t>
  </si>
  <si>
    <t xml:space="preserve">Value explanations </t>
  </si>
  <si>
    <t>S =</t>
  </si>
  <si>
    <t>Footprint Name in Library</t>
  </si>
  <si>
    <t>Doc</t>
  </si>
  <si>
    <t>http://www.yageo.com/NewPortal/yageodocoutput?fileName=/pdf/R-Chip/PYu-RC_Group_51_RoHS_L_3.pdf</t>
  </si>
  <si>
    <t>Keywords</t>
  </si>
  <si>
    <t>Reference</t>
  </si>
  <si>
    <t>REF**</t>
  </si>
  <si>
    <t>Value</t>
  </si>
  <si>
    <t>Font Size</t>
  </si>
  <si>
    <t>Width</t>
  </si>
  <si>
    <t>Hight</t>
  </si>
  <si>
    <t>Thickness</t>
  </si>
  <si>
    <t>Offset X</t>
  </si>
  <si>
    <t>Offset Y</t>
  </si>
  <si>
    <t>Least</t>
  </si>
  <si>
    <t>Most</t>
  </si>
  <si>
    <t>Median</t>
  </si>
  <si>
    <t>Toe</t>
  </si>
  <si>
    <t>Heel</t>
  </si>
  <si>
    <t>Side</t>
  </si>
  <si>
    <t>Round-off factor</t>
  </si>
  <si>
    <t>Courtyard excess</t>
  </si>
  <si>
    <t>CrtYd  Ex</t>
  </si>
  <si>
    <t xml:space="preserve">Typical component values </t>
  </si>
  <si>
    <t>RC0075</t>
  </si>
  <si>
    <t>±</t>
  </si>
  <si>
    <t>RC0100</t>
  </si>
  <si>
    <t>RC0201</t>
  </si>
  <si>
    <t>RC0402</t>
  </si>
  <si>
    <t>RC0603</t>
  </si>
  <si>
    <t>RC0805</t>
  </si>
  <si>
    <t>RC1206</t>
  </si>
  <si>
    <t>RC1210</t>
  </si>
  <si>
    <t>RC1218</t>
  </si>
  <si>
    <t>RC2010</t>
  </si>
  <si>
    <t>RC2512(1W)</t>
  </si>
  <si>
    <t>RC2512(2W)</t>
  </si>
  <si>
    <t>L</t>
  </si>
  <si>
    <t>W</t>
  </si>
  <si>
    <t>H</t>
  </si>
  <si>
    <t>I2</t>
  </si>
  <si>
    <t>Z =</t>
  </si>
  <si>
    <t>3D model</t>
  </si>
  <si>
    <t>Component spacing</t>
  </si>
  <si>
    <t>Nominal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</si>
</sst>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"/>
    <numFmt numFmtId="166" formatCode="0000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34">
    <xf numFmtId="0" fontId="0" fillId="0" borderId="0" xfId="0"/>
    <xf numFmtId="0" fontId="0" fillId="0" borderId="3" xfId="0" applyFill="1" applyBorder="1"/>
    <xf numFmtId="0" fontId="0" fillId="0" borderId="0" xfId="0" applyFill="1" applyBorder="1"/>
    <xf numFmtId="0" fontId="4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0" fontId="3" fillId="4" borderId="4" xfId="0" applyFont="1" applyFill="1" applyBorder="1" applyAlignment="1">
      <alignment horizontal="right"/>
    </xf>
    <xf numFmtId="0" fontId="0" fillId="5" borderId="0" xfId="0" applyFill="1" applyBorder="1"/>
    <xf numFmtId="0" fontId="4" fillId="4" borderId="4" xfId="0" applyFont="1" applyFill="1" applyBorder="1" applyAlignment="1">
      <alignment horizontal="right"/>
    </xf>
    <xf numFmtId="2" fontId="0" fillId="4" borderId="5" xfId="0" applyNumberFormat="1" applyFill="1" applyBorder="1" applyAlignment="1">
      <alignment horizontal="center"/>
    </xf>
    <xf numFmtId="0" fontId="0" fillId="5" borderId="6" xfId="0" applyFill="1" applyBorder="1"/>
    <xf numFmtId="165" fontId="0" fillId="4" borderId="5" xfId="0" applyNumberFormat="1" applyFill="1" applyBorder="1" applyAlignment="1">
      <alignment horizontal="center"/>
    </xf>
    <xf numFmtId="0" fontId="0" fillId="4" borderId="4" xfId="0" applyFill="1" applyBorder="1" applyAlignment="1">
      <alignment horizontal="right"/>
    </xf>
    <xf numFmtId="0" fontId="0" fillId="5" borderId="7" xfId="0" applyFill="1" applyBorder="1"/>
    <xf numFmtId="0" fontId="3" fillId="4" borderId="8" xfId="0" applyFont="1" applyFill="1" applyBorder="1" applyAlignment="1">
      <alignment horizontal="right"/>
    </xf>
    <xf numFmtId="0" fontId="0" fillId="5" borderId="0" xfId="0" applyFill="1"/>
    <xf numFmtId="0" fontId="3" fillId="4" borderId="10" xfId="0" applyFont="1" applyFill="1" applyBorder="1" applyAlignment="1">
      <alignment horizontal="right"/>
    </xf>
    <xf numFmtId="0" fontId="4" fillId="4" borderId="8" xfId="0" applyFont="1" applyFill="1" applyBorder="1" applyAlignment="1">
      <alignment horizontal="right"/>
    </xf>
    <xf numFmtId="2" fontId="0" fillId="4" borderId="9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0" fillId="4" borderId="8" xfId="0" applyFill="1" applyBorder="1" applyAlignment="1">
      <alignment horizontal="right"/>
    </xf>
    <xf numFmtId="0" fontId="0" fillId="4" borderId="10" xfId="0" applyFill="1" applyBorder="1" applyAlignment="1">
      <alignment horizontal="right"/>
    </xf>
    <xf numFmtId="2" fontId="0" fillId="4" borderId="11" xfId="0" applyNumberFormat="1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0" fontId="0" fillId="5" borderId="12" xfId="0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0" fillId="5" borderId="13" xfId="0" applyFill="1" applyBorder="1"/>
    <xf numFmtId="0" fontId="4" fillId="4" borderId="10" xfId="0" applyFont="1" applyFill="1" applyBorder="1" applyAlignment="1">
      <alignment horizontal="right"/>
    </xf>
    <xf numFmtId="165" fontId="0" fillId="4" borderId="11" xfId="0" applyNumberFormat="1" applyFill="1" applyBorder="1" applyAlignment="1">
      <alignment horizontal="center"/>
    </xf>
    <xf numFmtId="2" fontId="0" fillId="4" borderId="14" xfId="0" applyNumberForma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18" xfId="0" applyFill="1" applyBorder="1"/>
    <xf numFmtId="0" fontId="4" fillId="5" borderId="19" xfId="0" applyFont="1" applyFill="1" applyBorder="1" applyAlignment="1">
      <alignment horizontal="right"/>
    </xf>
    <xf numFmtId="0" fontId="0" fillId="4" borderId="11" xfId="0" applyFill="1" applyBorder="1" applyAlignment="1">
      <alignment horizontal="center"/>
    </xf>
    <xf numFmtId="0" fontId="0" fillId="5" borderId="19" xfId="0" applyFill="1" applyBorder="1"/>
    <xf numFmtId="0" fontId="0" fillId="5" borderId="3" xfId="0" applyFill="1" applyBorder="1"/>
    <xf numFmtId="0" fontId="0" fillId="5" borderId="23" xfId="0" applyFill="1" applyBorder="1"/>
    <xf numFmtId="0" fontId="5" fillId="0" borderId="0" xfId="3"/>
    <xf numFmtId="0" fontId="6" fillId="0" borderId="0" xfId="3" applyFont="1"/>
    <xf numFmtId="0" fontId="0" fillId="0" borderId="24" xfId="0" applyBorder="1" applyAlignment="1"/>
    <xf numFmtId="0" fontId="0" fillId="0" borderId="0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7" xfId="0" applyBorder="1" applyAlignment="1"/>
    <xf numFmtId="0" fontId="0" fillId="0" borderId="27" xfId="0" applyBorder="1" applyAlignment="1">
      <alignment horizontal="center"/>
    </xf>
    <xf numFmtId="0" fontId="0" fillId="0" borderId="38" xfId="0" applyBorder="1" applyAlignment="1"/>
    <xf numFmtId="0" fontId="0" fillId="0" borderId="38" xfId="0" applyBorder="1" applyAlignment="1">
      <alignment horizontal="center"/>
    </xf>
    <xf numFmtId="0" fontId="0" fillId="0" borderId="40" xfId="0" applyBorder="1" applyAlignment="1"/>
    <xf numFmtId="0" fontId="0" fillId="0" borderId="29" xfId="0" applyBorder="1" applyAlignment="1"/>
    <xf numFmtId="0" fontId="0" fillId="0" borderId="41" xfId="0" applyBorder="1" applyAlignment="1"/>
    <xf numFmtId="0" fontId="0" fillId="0" borderId="42" xfId="0" applyBorder="1" applyAlignment="1"/>
    <xf numFmtId="0" fontId="0" fillId="0" borderId="43" xfId="0" applyBorder="1" applyAlignment="1"/>
    <xf numFmtId="0" fontId="0" fillId="0" borderId="44" xfId="0" applyBorder="1" applyAlignment="1"/>
    <xf numFmtId="0" fontId="0" fillId="0" borderId="29" xfId="0" applyBorder="1" applyAlignment="1">
      <alignment horizontal="center"/>
    </xf>
    <xf numFmtId="0" fontId="0" fillId="0" borderId="41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4" xfId="0" applyBorder="1"/>
    <xf numFmtId="0" fontId="0" fillId="0" borderId="47" xfId="0" applyBorder="1"/>
    <xf numFmtId="0" fontId="0" fillId="0" borderId="27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2" fontId="1" fillId="2" borderId="5" xfId="1" applyNumberFormat="1" applyBorder="1" applyAlignment="1" applyProtection="1">
      <alignment horizontal="center"/>
      <protection locked="0"/>
    </xf>
    <xf numFmtId="2" fontId="1" fillId="2" borderId="9" xfId="1" applyNumberFormat="1" applyBorder="1" applyAlignment="1" applyProtection="1">
      <alignment horizontal="center"/>
      <protection locked="0"/>
    </xf>
    <xf numFmtId="164" fontId="1" fillId="2" borderId="5" xfId="1" applyNumberFormat="1" applyBorder="1" applyAlignment="1" applyProtection="1">
      <alignment horizontal="center"/>
      <protection locked="0"/>
    </xf>
    <xf numFmtId="164" fontId="1" fillId="2" borderId="11" xfId="1" applyNumberFormat="1" applyBorder="1" applyAlignment="1" applyProtection="1">
      <alignment horizontal="center"/>
      <protection locked="0"/>
    </xf>
    <xf numFmtId="2" fontId="2" fillId="3" borderId="5" xfId="2" applyNumberFormat="1" applyBorder="1" applyAlignment="1" applyProtection="1">
      <alignment horizontal="center"/>
      <protection locked="0"/>
    </xf>
    <xf numFmtId="2" fontId="2" fillId="3" borderId="9" xfId="2" applyNumberFormat="1" applyBorder="1" applyAlignment="1" applyProtection="1">
      <alignment horizontal="center"/>
      <protection locked="0"/>
    </xf>
    <xf numFmtId="2" fontId="2" fillId="3" borderId="11" xfId="2" applyNumberFormat="1" applyBorder="1" applyAlignment="1" applyProtection="1">
      <alignment horizontal="center"/>
      <protection locked="0"/>
    </xf>
    <xf numFmtId="0" fontId="2" fillId="3" borderId="5" xfId="2" applyBorder="1" applyAlignment="1" applyProtection="1">
      <alignment horizontal="center"/>
      <protection locked="0"/>
    </xf>
    <xf numFmtId="0" fontId="2" fillId="3" borderId="11" xfId="2" applyBorder="1" applyAlignment="1" applyProtection="1">
      <alignment horizontal="center"/>
      <protection locked="0"/>
    </xf>
    <xf numFmtId="2" fontId="1" fillId="2" borderId="29" xfId="1" applyNumberFormat="1" applyBorder="1" applyAlignment="1" applyProtection="1">
      <alignment horizontal="center"/>
      <protection locked="0"/>
    </xf>
    <xf numFmtId="0" fontId="2" fillId="3" borderId="48" xfId="2" applyBorder="1" applyAlignment="1" applyProtection="1">
      <alignment horizontal="center"/>
      <protection locked="0"/>
    </xf>
    <xf numFmtId="0" fontId="3" fillId="4" borderId="49" xfId="0" applyFont="1" applyFill="1" applyBorder="1" applyAlignment="1">
      <alignment horizontal="right"/>
    </xf>
    <xf numFmtId="0" fontId="3" fillId="4" borderId="26" xfId="0" applyFont="1" applyFill="1" applyBorder="1" applyAlignment="1">
      <alignment horizontal="center"/>
    </xf>
    <xf numFmtId="0" fontId="3" fillId="4" borderId="26" xfId="0" applyFont="1" applyFill="1" applyBorder="1" applyAlignment="1"/>
    <xf numFmtId="0" fontId="8" fillId="0" borderId="28" xfId="0" applyFont="1" applyBorder="1" applyAlignment="1">
      <alignment horizontal="right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left" vertical="center"/>
    </xf>
    <xf numFmtId="0" fontId="0" fillId="0" borderId="28" xfId="0" applyBorder="1" applyAlignment="1">
      <alignment horizontal="right"/>
    </xf>
    <xf numFmtId="0" fontId="0" fillId="0" borderId="30" xfId="0" applyBorder="1" applyAlignment="1">
      <alignment horizontal="left"/>
    </xf>
    <xf numFmtId="0" fontId="7" fillId="0" borderId="35" xfId="0" applyFont="1" applyBorder="1" applyAlignment="1">
      <alignment vertical="center"/>
    </xf>
    <xf numFmtId="0" fontId="8" fillId="0" borderId="41" xfId="0" applyFont="1" applyBorder="1" applyAlignment="1">
      <alignment horizontal="left" vertical="center"/>
    </xf>
    <xf numFmtId="0" fontId="7" fillId="0" borderId="37" xfId="0" applyFont="1" applyBorder="1" applyAlignment="1">
      <alignment vertical="center"/>
    </xf>
    <xf numFmtId="0" fontId="0" fillId="0" borderId="50" xfId="0" applyBorder="1" applyAlignment="1">
      <alignment horizontal="right"/>
    </xf>
    <xf numFmtId="0" fontId="0" fillId="0" borderId="51" xfId="0" applyBorder="1" applyAlignment="1">
      <alignment horizontal="left"/>
    </xf>
    <xf numFmtId="0" fontId="0" fillId="0" borderId="44" xfId="0" applyBorder="1" applyAlignment="1">
      <alignment horizontal="left"/>
    </xf>
    <xf numFmtId="166" fontId="1" fillId="2" borderId="30" xfId="1" applyNumberFormat="1" applyBorder="1" applyAlignment="1" applyProtection="1">
      <alignment horizontal="center"/>
      <protection locked="0"/>
    </xf>
    <xf numFmtId="2" fontId="2" fillId="3" borderId="30" xfId="2" applyNumberFormat="1" applyBorder="1" applyAlignment="1" applyProtection="1">
      <alignment horizontal="center"/>
      <protection locked="0"/>
    </xf>
    <xf numFmtId="2" fontId="2" fillId="3" borderId="29" xfId="2" applyNumberFormat="1" applyBorder="1" applyAlignment="1" applyProtection="1">
      <alignment horizontal="center"/>
      <protection locked="0"/>
    </xf>
    <xf numFmtId="0" fontId="0" fillId="4" borderId="52" xfId="0" applyFill="1" applyBorder="1" applyAlignment="1">
      <alignment horizontal="right"/>
    </xf>
    <xf numFmtId="0" fontId="0" fillId="0" borderId="53" xfId="0" applyBorder="1" applyAlignment="1">
      <alignment horizontal="center"/>
    </xf>
    <xf numFmtId="0" fontId="0" fillId="0" borderId="0" xfId="0" applyBorder="1"/>
    <xf numFmtId="0" fontId="3" fillId="4" borderId="24" xfId="0" applyFont="1" applyFill="1" applyBorder="1" applyAlignment="1">
      <alignment horizontal="center"/>
    </xf>
    <xf numFmtId="0" fontId="3" fillId="4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8" xfId="0" applyBorder="1" applyAlignment="1">
      <alignment horizontal="center"/>
    </xf>
    <xf numFmtId="0" fontId="4" fillId="4" borderId="15" xfId="0" applyFont="1" applyFill="1" applyBorder="1" applyAlignment="1">
      <alignment horizontal="right"/>
    </xf>
    <xf numFmtId="0" fontId="0" fillId="4" borderId="16" xfId="0" applyFill="1" applyBorder="1" applyAlignment="1"/>
    <xf numFmtId="0" fontId="0" fillId="4" borderId="17" xfId="0" applyFill="1" applyBorder="1" applyAlignment="1"/>
    <xf numFmtId="0" fontId="4" fillId="4" borderId="20" xfId="0" applyFont="1" applyFill="1" applyBorder="1" applyAlignment="1">
      <alignment horizontal="right"/>
    </xf>
    <xf numFmtId="0" fontId="0" fillId="4" borderId="21" xfId="0" applyFill="1" applyBorder="1" applyAlignment="1"/>
    <xf numFmtId="0" fontId="0" fillId="4" borderId="22" xfId="0" applyFill="1" applyBorder="1" applyAlignment="1"/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1" xfId="0" applyBorder="1" applyAlignment="1">
      <alignment horizontal="left"/>
    </xf>
    <xf numFmtId="0" fontId="3" fillId="4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4" borderId="2" xfId="0" applyFill="1" applyBorder="1" applyAlignment="1">
      <alignment horizontal="center"/>
    </xf>
    <xf numFmtId="166" fontId="0" fillId="0" borderId="24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0" borderId="26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6" xfId="0" applyBorder="1" applyAlignment="1">
      <alignment horizontal="center"/>
    </xf>
  </cellXfs>
  <cellStyles count="4">
    <cellStyle name="Good" xfId="1" builtinId="26"/>
    <cellStyle name="Hyperlink" xfId="3" builtinId="8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533400</xdr:colOff>
      <xdr:row>7</xdr:row>
      <xdr:rowOff>144780</xdr:rowOff>
    </xdr:from>
    <xdr:to>
      <xdr:col>5</xdr:col>
      <xdr:colOff>106680</xdr:colOff>
      <xdr:row>11</xdr:row>
      <xdr:rowOff>0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000" b="10001"/>
        <a:stretch>
          <a:fillRect/>
        </a:stretch>
      </xdr:blipFill>
      <xdr:spPr bwMode="auto">
        <a:xfrm>
          <a:off x="2362200" y="144780"/>
          <a:ext cx="97536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548640</xdr:colOff>
      <xdr:row>7</xdr:row>
      <xdr:rowOff>152400</xdr:rowOff>
    </xdr:from>
    <xdr:to>
      <xdr:col>11</xdr:col>
      <xdr:colOff>365760</xdr:colOff>
      <xdr:row>10</xdr:row>
      <xdr:rowOff>167640</xdr:rowOff>
    </xdr:to>
    <xdr:pic>
      <xdr:nvPicPr>
        <xdr:cNvPr id="3" name="Picture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000" b="16000"/>
        <a:stretch>
          <a:fillRect/>
        </a:stretch>
      </xdr:blipFill>
      <xdr:spPr bwMode="auto">
        <a:xfrm>
          <a:off x="6035040" y="152400"/>
          <a:ext cx="97536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563880</xdr:colOff>
      <xdr:row>7</xdr:row>
      <xdr:rowOff>167640</xdr:rowOff>
    </xdr:from>
    <xdr:to>
      <xdr:col>17</xdr:col>
      <xdr:colOff>243840</xdr:colOff>
      <xdr:row>10</xdr:row>
      <xdr:rowOff>182880</xdr:rowOff>
    </xdr:to>
    <xdr:pic>
      <xdr:nvPicPr>
        <xdr:cNvPr id="4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999" b="10001"/>
        <a:stretch>
          <a:fillRect/>
        </a:stretch>
      </xdr:blipFill>
      <xdr:spPr bwMode="auto">
        <a:xfrm>
          <a:off x="9707880" y="167640"/>
          <a:ext cx="97536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45720</xdr:rowOff>
        </xdr:from>
        <xdr:to>
          <xdr:col>2</xdr:col>
          <xdr:colOff>411480</xdr:colOff>
          <xdr:row>8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Footprint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</xdr:colOff>
      <xdr:row>0</xdr:row>
      <xdr:rowOff>15240</xdr:rowOff>
    </xdr:from>
    <xdr:to>
      <xdr:col>25</xdr:col>
      <xdr:colOff>206073</xdr:colOff>
      <xdr:row>17</xdr:row>
      <xdr:rowOff>76485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65080" y="15240"/>
          <a:ext cx="3848433" cy="32845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logs.mentor.com/tom-hausherr/blog/2010/11/24/pcb-design-perfection-starts-in-the-cad-library-part-7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3"/>
  <sheetViews>
    <sheetView tabSelected="1" workbookViewId="0">
      <selection activeCell="E22" sqref="E22"/>
    </sheetView>
  </sheetViews>
  <sheetFormatPr defaultRowHeight="14.4" x14ac:dyDescent="0.3"/>
  <cols>
    <col min="1" max="1" width="23.5546875" customWidth="1"/>
    <col min="2" max="2" width="8.88671875" customWidth="1"/>
    <col min="4" max="4" width="1.5546875" customWidth="1"/>
    <col min="5" max="5" width="12.6640625" customWidth="1"/>
    <col min="6" max="6" width="8.88671875" customWidth="1"/>
    <col min="8" max="8" width="11.33203125" customWidth="1"/>
    <col min="10" max="10" width="1.77734375" customWidth="1"/>
    <col min="16" max="16" width="1.77734375" customWidth="1"/>
    <col min="17" max="17" width="10.6640625" customWidth="1"/>
  </cols>
  <sheetData>
    <row r="1" spans="1:18" ht="15" thickBot="1" x14ac:dyDescent="0.35">
      <c r="A1" s="38" t="s">
        <v>45</v>
      </c>
      <c r="B1" s="119" t="str">
        <f xml:space="preserve"> "R_" &amp; TEXT(E23,"0000")</f>
        <v>R_0402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1"/>
    </row>
    <row r="2" spans="1:18" ht="15" thickBot="1" x14ac:dyDescent="0.35">
      <c r="A2" s="38" t="s">
        <v>46</v>
      </c>
      <c r="B2" s="116" t="s">
        <v>47</v>
      </c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8"/>
    </row>
    <row r="3" spans="1:18" ht="15" thickBot="1" x14ac:dyDescent="0.35">
      <c r="A3" s="40" t="s">
        <v>48</v>
      </c>
      <c r="B3" s="122" t="str">
        <f xml:space="preserve"> "resistor " &amp; E23</f>
        <v>resistor 402</v>
      </c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4"/>
    </row>
    <row r="4" spans="1:18" ht="15" thickBot="1" x14ac:dyDescent="0.35">
      <c r="A4" s="40"/>
      <c r="B4" s="53"/>
      <c r="C4" s="39"/>
      <c r="D4" s="39"/>
      <c r="E4" s="39"/>
      <c r="F4" s="42" t="s">
        <v>53</v>
      </c>
      <c r="G4" s="42" t="s">
        <v>54</v>
      </c>
      <c r="H4" s="56" t="s">
        <v>55</v>
      </c>
      <c r="I4" s="104" t="s">
        <v>56</v>
      </c>
      <c r="J4" s="104"/>
      <c r="K4" s="54" t="s">
        <v>57</v>
      </c>
      <c r="L4" s="54"/>
      <c r="M4" s="54"/>
      <c r="N4" s="54"/>
      <c r="O4" s="54"/>
      <c r="P4" s="54"/>
      <c r="Q4" s="54"/>
      <c r="R4" s="55"/>
    </row>
    <row r="5" spans="1:18" ht="15" thickBot="1" x14ac:dyDescent="0.35">
      <c r="A5" s="40" t="s">
        <v>49</v>
      </c>
      <c r="B5" s="45" t="s">
        <v>50</v>
      </c>
      <c r="C5" s="103" t="s">
        <v>52</v>
      </c>
      <c r="D5" s="102"/>
      <c r="E5" s="102"/>
      <c r="F5" s="42">
        <v>0.3</v>
      </c>
      <c r="G5" s="42">
        <v>0.3</v>
      </c>
      <c r="H5" s="42">
        <v>0.05</v>
      </c>
      <c r="I5" s="105">
        <v>0</v>
      </c>
      <c r="J5" s="105"/>
      <c r="K5" s="41">
        <f>-ROUND((O16/2+F20+G5/1.8 +0.05)*L20,0)/L20</f>
        <v>-1.06</v>
      </c>
      <c r="L5" s="46"/>
      <c r="M5" s="46"/>
      <c r="N5" s="46"/>
      <c r="O5" s="46"/>
      <c r="P5" s="46"/>
      <c r="Q5" s="46"/>
      <c r="R5" s="47"/>
    </row>
    <row r="6" spans="1:18" ht="15" thickBot="1" x14ac:dyDescent="0.35">
      <c r="A6" s="40" t="s">
        <v>51</v>
      </c>
      <c r="B6" s="48" t="str">
        <f xml:space="preserve"> "R_" &amp; TEXT(E23,"0000")</f>
        <v>R_0402</v>
      </c>
      <c r="C6" s="103" t="s">
        <v>52</v>
      </c>
      <c r="D6" s="102"/>
      <c r="E6" s="102"/>
      <c r="F6" s="44">
        <v>0.1</v>
      </c>
      <c r="G6" s="44">
        <v>0.1</v>
      </c>
      <c r="H6" s="44">
        <v>1.2500000000000001E-2</v>
      </c>
      <c r="I6" s="106">
        <v>0</v>
      </c>
      <c r="J6" s="106"/>
      <c r="K6" s="43">
        <v>0</v>
      </c>
      <c r="L6" s="49"/>
      <c r="M6" s="49"/>
      <c r="N6" s="49"/>
      <c r="O6" s="49"/>
      <c r="P6" s="49"/>
      <c r="Q6" s="49"/>
      <c r="R6" s="50"/>
    </row>
    <row r="7" spans="1:18" ht="15" thickBot="1" x14ac:dyDescent="0.35">
      <c r="A7" s="98" t="s">
        <v>86</v>
      </c>
      <c r="B7" s="113" t="str">
        <f>"Resistors_SMD.3dshapes/" &amp; B1&amp;".wrl"</f>
        <v>Resistors_SMD.3dshapes/R_0402.wrl</v>
      </c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5"/>
    </row>
    <row r="8" spans="1:18" x14ac:dyDescent="0.3">
      <c r="H8" s="36"/>
      <c r="I8" t="str">
        <f>TRIM(RIGHT(SUBSTITUTE(H8,"\",REPT(" ",99)),99))</f>
        <v/>
      </c>
    </row>
    <row r="10" spans="1:18" ht="15" thickBot="1" x14ac:dyDescent="0.35"/>
    <row r="11" spans="1:18" ht="15.6" thickTop="1" thickBot="1" x14ac:dyDescent="0.35">
      <c r="A11" s="37" t="s">
        <v>43</v>
      </c>
      <c r="B11" s="125" t="s">
        <v>0</v>
      </c>
      <c r="C11" s="126"/>
      <c r="D11" s="1"/>
      <c r="E11" s="1"/>
      <c r="F11" s="1"/>
      <c r="H11" s="125" t="s">
        <v>1</v>
      </c>
      <c r="I11" s="127"/>
      <c r="N11" s="125" t="s">
        <v>2</v>
      </c>
      <c r="O11" s="127"/>
      <c r="P11" s="2"/>
      <c r="Q11" s="3"/>
      <c r="R11" s="4"/>
    </row>
    <row r="12" spans="1:18" ht="15.6" thickTop="1" thickBot="1" x14ac:dyDescent="0.35">
      <c r="B12" s="5" t="s">
        <v>3</v>
      </c>
      <c r="C12" s="69">
        <v>0.95</v>
      </c>
      <c r="D12" s="6"/>
      <c r="E12" s="5" t="s">
        <v>4</v>
      </c>
      <c r="F12" s="71">
        <v>0.05</v>
      </c>
      <c r="H12" s="7" t="s">
        <v>5</v>
      </c>
      <c r="I12" s="8">
        <f>I15-I16</f>
        <v>0.5</v>
      </c>
      <c r="J12" s="9"/>
      <c r="K12" s="7" t="s">
        <v>6</v>
      </c>
      <c r="L12" s="10">
        <f>SQRT(C14^2 + (2*F12)^2 + (2*F13)^2)</f>
        <v>0.17320508075688779</v>
      </c>
      <c r="N12" s="11" t="s">
        <v>44</v>
      </c>
      <c r="O12" s="8">
        <f>ROUND((O13-O14)*L20,0)/L20</f>
        <v>0.32</v>
      </c>
      <c r="P12" s="12"/>
      <c r="Q12" s="11" t="s">
        <v>8</v>
      </c>
      <c r="R12" s="8">
        <f>R13+(L12/2)</f>
        <v>-3.999999999999998E-2</v>
      </c>
    </row>
    <row r="13" spans="1:18" ht="15.6" thickTop="1" thickBot="1" x14ac:dyDescent="0.35">
      <c r="B13" s="13" t="s">
        <v>9</v>
      </c>
      <c r="C13" s="70">
        <v>1.05</v>
      </c>
      <c r="D13" s="14"/>
      <c r="E13" s="15" t="s">
        <v>10</v>
      </c>
      <c r="F13" s="72">
        <v>0.05</v>
      </c>
      <c r="H13" s="16" t="s">
        <v>11</v>
      </c>
      <c r="I13" s="17">
        <f>SQRT(C14^2 + C17^2 + C17^2)</f>
        <v>0.3</v>
      </c>
      <c r="J13" s="6"/>
      <c r="K13" s="16" t="s">
        <v>12</v>
      </c>
      <c r="L13" s="18">
        <f>C12+(2*F15)+L12</f>
        <v>1.4232050807568877</v>
      </c>
      <c r="N13" s="11" t="s">
        <v>7</v>
      </c>
      <c r="O13" s="8">
        <f>ROUND(((L13+L15)/2)*L19,0)/L19</f>
        <v>0.87</v>
      </c>
      <c r="P13" s="6"/>
      <c r="Q13" s="19" t="s">
        <v>14</v>
      </c>
      <c r="R13" s="17">
        <f>((O12+O14)-(C12+L12))/2</f>
        <v>-0.12660254037844387</v>
      </c>
    </row>
    <row r="14" spans="1:18" ht="15.6" thickTop="1" thickBot="1" x14ac:dyDescent="0.35">
      <c r="B14" s="20" t="s">
        <v>15</v>
      </c>
      <c r="C14" s="21">
        <f>C13-C12</f>
        <v>0.10000000000000009</v>
      </c>
      <c r="D14" s="6"/>
      <c r="E14" s="22"/>
      <c r="F14" s="23"/>
      <c r="H14" s="16" t="s">
        <v>16</v>
      </c>
      <c r="I14" s="17">
        <f>I12-I13</f>
        <v>0.2</v>
      </c>
      <c r="J14" s="6"/>
      <c r="K14" s="16" t="s">
        <v>17</v>
      </c>
      <c r="L14" s="18">
        <f>SQRT((I17-I18)^2 + (2*F12)^2 + (2*F13)^2)</f>
        <v>0.33166247903554003</v>
      </c>
      <c r="N14" s="19" t="s">
        <v>13</v>
      </c>
      <c r="O14" s="17">
        <f>ROUND(((L13-L15)/2)*L20,0)/L20</f>
        <v>0.55000000000000004</v>
      </c>
      <c r="P14" s="6"/>
      <c r="Q14" s="24" t="s">
        <v>19</v>
      </c>
      <c r="R14" s="21">
        <f>F15</f>
        <v>0.15</v>
      </c>
    </row>
    <row r="15" spans="1:18" ht="15" thickTop="1" x14ac:dyDescent="0.3">
      <c r="B15" s="5" t="s">
        <v>20</v>
      </c>
      <c r="C15" s="69">
        <v>0.15</v>
      </c>
      <c r="D15" s="6"/>
      <c r="E15" s="5" t="s">
        <v>19</v>
      </c>
      <c r="F15" s="73">
        <v>0.15</v>
      </c>
      <c r="H15" s="16" t="s">
        <v>21</v>
      </c>
      <c r="I15" s="17">
        <f>C13-(2*C15)</f>
        <v>0.75</v>
      </c>
      <c r="J15" s="6"/>
      <c r="K15" s="16" t="s">
        <v>22</v>
      </c>
      <c r="L15" s="18">
        <f>IF((I17 - 2*(F16) -L14)&lt;0.15,0.15,(I17 - 2*(F16) -L14))</f>
        <v>0.31833752096446</v>
      </c>
      <c r="N15" s="97" t="s">
        <v>18</v>
      </c>
      <c r="O15" s="28">
        <f>ROUND(L17*L20,0)/L20</f>
        <v>0.62</v>
      </c>
      <c r="P15" s="6"/>
      <c r="Q15" s="11" t="s">
        <v>23</v>
      </c>
      <c r="R15" s="8">
        <f>R16+(L14/2)</f>
        <v>0.16583123951777001</v>
      </c>
    </row>
    <row r="16" spans="1:18" ht="15" thickBot="1" x14ac:dyDescent="0.35">
      <c r="B16" s="13" t="s">
        <v>24</v>
      </c>
      <c r="C16" s="70">
        <v>0.35</v>
      </c>
      <c r="D16" s="14"/>
      <c r="E16" s="13" t="s">
        <v>25</v>
      </c>
      <c r="F16" s="74">
        <v>0</v>
      </c>
      <c r="H16" s="16" t="s">
        <v>26</v>
      </c>
      <c r="I16" s="17">
        <f>C12-(2*C16)</f>
        <v>0.25</v>
      </c>
      <c r="J16" s="6"/>
      <c r="K16" s="16" t="s">
        <v>27</v>
      </c>
      <c r="L16" s="18">
        <f>SQRT(C20^2 + (2*F12)^2 + (2*F13)^2)</f>
        <v>0.17320508075688776</v>
      </c>
      <c r="N16" s="20" t="s">
        <v>85</v>
      </c>
      <c r="O16" s="21">
        <f>ROUND(L13*L19,0)/L19</f>
        <v>1.42</v>
      </c>
      <c r="P16" s="6"/>
      <c r="Q16" s="19" t="s">
        <v>28</v>
      </c>
      <c r="R16" s="17">
        <f>((I17-L14)-L15)/2</f>
        <v>0</v>
      </c>
    </row>
    <row r="17" spans="1:18" ht="15.6" thickTop="1" thickBot="1" x14ac:dyDescent="0.35">
      <c r="B17" s="20" t="s">
        <v>29</v>
      </c>
      <c r="C17" s="21">
        <f>C16-C15</f>
        <v>0.19999999999999998</v>
      </c>
      <c r="D17" s="6"/>
      <c r="E17" s="15" t="s">
        <v>30</v>
      </c>
      <c r="F17" s="75">
        <v>0</v>
      </c>
      <c r="H17" s="16" t="s">
        <v>31</v>
      </c>
      <c r="I17" s="17">
        <f>I15-(I14/2)</f>
        <v>0.65</v>
      </c>
      <c r="J17" s="6"/>
      <c r="K17" s="26" t="s">
        <v>32</v>
      </c>
      <c r="L17" s="27">
        <f>C18+(2*F17)+L16</f>
        <v>0.62320508075688774</v>
      </c>
      <c r="N17" s="25"/>
      <c r="O17" s="14"/>
      <c r="P17" s="14"/>
      <c r="Q17" s="24" t="s">
        <v>25</v>
      </c>
      <c r="R17" s="21">
        <f>F16</f>
        <v>0</v>
      </c>
    </row>
    <row r="18" spans="1:18" ht="15.6" thickTop="1" thickBot="1" x14ac:dyDescent="0.35">
      <c r="B18" s="5" t="s">
        <v>33</v>
      </c>
      <c r="C18" s="69">
        <v>0.45</v>
      </c>
      <c r="D18" s="6"/>
      <c r="E18" s="5" t="s">
        <v>37</v>
      </c>
      <c r="F18" s="76">
        <v>0.01</v>
      </c>
      <c r="H18" s="26" t="s">
        <v>34</v>
      </c>
      <c r="I18" s="28">
        <f>I16+(I14/2)</f>
        <v>0.35</v>
      </c>
      <c r="J18" s="6"/>
      <c r="K18" s="22"/>
      <c r="L18" s="23"/>
      <c r="N18" s="25"/>
      <c r="O18" s="14"/>
      <c r="P18" s="14"/>
      <c r="Q18" s="11" t="s">
        <v>35</v>
      </c>
      <c r="R18" s="8">
        <f>R19+(L16/2)</f>
        <v>8.5000000000000006E-2</v>
      </c>
    </row>
    <row r="19" spans="1:18" ht="15" thickTop="1" x14ac:dyDescent="0.3">
      <c r="B19" s="13" t="s">
        <v>36</v>
      </c>
      <c r="C19" s="70">
        <v>0.55000000000000004</v>
      </c>
      <c r="D19" s="6"/>
      <c r="E19" s="80" t="s">
        <v>41</v>
      </c>
      <c r="F19" s="79">
        <v>0.01</v>
      </c>
      <c r="H19" s="25"/>
      <c r="I19" s="107" t="s">
        <v>38</v>
      </c>
      <c r="J19" s="108"/>
      <c r="K19" s="109"/>
      <c r="L19" s="29">
        <f>1/F18</f>
        <v>100</v>
      </c>
      <c r="N19" s="25"/>
      <c r="O19" s="14"/>
      <c r="P19" s="14"/>
      <c r="Q19" s="19" t="s">
        <v>39</v>
      </c>
      <c r="R19" s="17">
        <f>(O15-(C18+L16))/2</f>
        <v>-1.602540378443873E-3</v>
      </c>
    </row>
    <row r="20" spans="1:18" ht="15" thickBot="1" x14ac:dyDescent="0.35">
      <c r="B20" s="20" t="s">
        <v>40</v>
      </c>
      <c r="C20" s="21">
        <f>C19-C18</f>
        <v>0.10000000000000003</v>
      </c>
      <c r="D20" s="30"/>
      <c r="E20" s="15" t="s">
        <v>66</v>
      </c>
      <c r="F20" s="77">
        <v>0.13</v>
      </c>
      <c r="H20" s="31"/>
      <c r="I20" s="110" t="s">
        <v>42</v>
      </c>
      <c r="J20" s="111"/>
      <c r="K20" s="112"/>
      <c r="L20" s="32">
        <f>1/F19</f>
        <v>100</v>
      </c>
      <c r="N20" s="33"/>
      <c r="O20" s="34"/>
      <c r="P20" s="35"/>
      <c r="Q20" s="24" t="s">
        <v>30</v>
      </c>
      <c r="R20" s="21">
        <f>F17</f>
        <v>0</v>
      </c>
    </row>
    <row r="21" spans="1:18" ht="15.6" thickTop="1" thickBot="1" x14ac:dyDescent="0.35"/>
    <row r="22" spans="1:18" ht="15" thickBot="1" x14ac:dyDescent="0.35">
      <c r="A22" s="100" t="s">
        <v>87</v>
      </c>
      <c r="B22" s="102"/>
      <c r="C22" s="81"/>
      <c r="D22" s="96"/>
      <c r="E22" s="95" t="s">
        <v>88</v>
      </c>
    </row>
    <row r="23" spans="1:18" ht="15" thickBot="1" x14ac:dyDescent="0.35">
      <c r="A23" s="100" t="s">
        <v>67</v>
      </c>
      <c r="B23" s="101"/>
      <c r="C23" s="82"/>
      <c r="D23" s="78"/>
      <c r="E23" s="94">
        <v>402</v>
      </c>
    </row>
  </sheetData>
  <mergeCells count="16">
    <mergeCell ref="B2:R2"/>
    <mergeCell ref="B1:R1"/>
    <mergeCell ref="B3:R3"/>
    <mergeCell ref="B11:C11"/>
    <mergeCell ref="H11:I11"/>
    <mergeCell ref="N11:O11"/>
    <mergeCell ref="A23:B23"/>
    <mergeCell ref="A22:B22"/>
    <mergeCell ref="C5:E5"/>
    <mergeCell ref="C6:E6"/>
    <mergeCell ref="I4:J4"/>
    <mergeCell ref="I5:J5"/>
    <mergeCell ref="I6:J6"/>
    <mergeCell ref="I19:K19"/>
    <mergeCell ref="I20:K20"/>
    <mergeCell ref="B7:R7"/>
  </mergeCells>
  <dataValidations count="2">
    <dataValidation type="list" allowBlank="1" showInputMessage="1" showErrorMessage="1" sqref="E22">
      <formula1>"Least,Nominal,Most,"</formula1>
    </dataValidation>
    <dataValidation type="list" allowBlank="1" showInputMessage="1" showErrorMessage="1" sqref="E23">
      <formula1>"0075,01005,0201,0402,0603,0805,1206,1210,1218,2010,2512(1W),2512(2W),"</formula1>
    </dataValidation>
  </dataValidations>
  <hyperlinks>
    <hyperlink ref="A1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Footprint">
                <anchor moveWithCells="1" sizeWithCells="1">
                  <from>
                    <xdr:col>1</xdr:col>
                    <xdr:colOff>0</xdr:colOff>
                    <xdr:row>7</xdr:row>
                    <xdr:rowOff>45720</xdr:rowOff>
                  </from>
                  <to>
                    <xdr:col>2</xdr:col>
                    <xdr:colOff>411480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3"/>
  <sheetViews>
    <sheetView topLeftCell="A5" workbookViewId="0">
      <selection activeCell="B39" sqref="B39"/>
    </sheetView>
  </sheetViews>
  <sheetFormatPr defaultRowHeight="14.4" x14ac:dyDescent="0.3"/>
  <cols>
    <col min="1" max="1" width="18.44140625" customWidth="1"/>
    <col min="2" max="2" width="16.21875" customWidth="1"/>
    <col min="3" max="3" width="16.44140625" customWidth="1"/>
    <col min="4" max="4" width="14.44140625" customWidth="1"/>
    <col min="6" max="6" width="12" customWidth="1"/>
    <col min="7" max="7" width="4.88671875" customWidth="1"/>
    <col min="8" max="8" width="2.88671875" customWidth="1"/>
    <col min="9" max="9" width="5.5546875" customWidth="1"/>
    <col min="10" max="10" width="5.33203125" customWidth="1"/>
    <col min="11" max="11" width="2.44140625" customWidth="1"/>
    <col min="12" max="13" width="4.88671875" customWidth="1"/>
    <col min="14" max="14" width="2" customWidth="1"/>
    <col min="15" max="15" width="5.33203125" customWidth="1"/>
    <col min="16" max="16" width="6.21875" customWidth="1"/>
    <col min="17" max="17" width="2.88671875" customWidth="1"/>
    <col min="18" max="18" width="5.33203125" customWidth="1"/>
  </cols>
  <sheetData>
    <row r="1" spans="1:18" ht="15" thickBot="1" x14ac:dyDescent="0.35">
      <c r="B1" s="128">
        <v>75</v>
      </c>
      <c r="C1" s="129"/>
      <c r="D1" s="130"/>
      <c r="F1" s="61"/>
      <c r="G1" s="131" t="s">
        <v>81</v>
      </c>
      <c r="H1" s="131"/>
      <c r="I1" s="131"/>
      <c r="J1" s="131" t="s">
        <v>82</v>
      </c>
      <c r="K1" s="131"/>
      <c r="L1" s="131"/>
      <c r="M1" s="131" t="s">
        <v>83</v>
      </c>
      <c r="N1" s="131"/>
      <c r="O1" s="131"/>
      <c r="P1" s="131" t="s">
        <v>84</v>
      </c>
      <c r="Q1" s="131"/>
      <c r="R1" s="132"/>
    </row>
    <row r="2" spans="1:18" ht="15" thickBot="1" x14ac:dyDescent="0.35">
      <c r="B2" s="59" t="s">
        <v>59</v>
      </c>
      <c r="C2" s="59" t="s">
        <v>60</v>
      </c>
      <c r="D2" s="59" t="s">
        <v>58</v>
      </c>
      <c r="F2" s="88" t="s">
        <v>68</v>
      </c>
      <c r="G2" s="83">
        <v>0.3</v>
      </c>
      <c r="H2" s="84" t="s">
        <v>69</v>
      </c>
      <c r="I2" s="85">
        <v>0.01</v>
      </c>
      <c r="J2" s="83">
        <v>0.15</v>
      </c>
      <c r="K2" s="84" t="s">
        <v>69</v>
      </c>
      <c r="L2" s="85">
        <v>0.01</v>
      </c>
      <c r="M2" s="83">
        <v>0.1</v>
      </c>
      <c r="N2" s="84" t="s">
        <v>69</v>
      </c>
      <c r="O2" s="85">
        <v>0.01</v>
      </c>
      <c r="P2" s="83">
        <v>0.08</v>
      </c>
      <c r="Q2" s="84" t="s">
        <v>69</v>
      </c>
      <c r="R2" s="89">
        <v>0.03</v>
      </c>
    </row>
    <row r="3" spans="1:18" ht="15" thickBot="1" x14ac:dyDescent="0.35">
      <c r="A3" s="58" t="s">
        <v>61</v>
      </c>
      <c r="B3" s="61">
        <v>0.08</v>
      </c>
      <c r="C3" s="62">
        <v>0.08</v>
      </c>
      <c r="D3" s="63">
        <v>0.08</v>
      </c>
      <c r="F3" s="88" t="s">
        <v>70</v>
      </c>
      <c r="G3" s="86">
        <v>0.4</v>
      </c>
      <c r="H3" s="51" t="s">
        <v>69</v>
      </c>
      <c r="I3" s="87">
        <v>0.02</v>
      </c>
      <c r="J3" s="86">
        <v>0.2</v>
      </c>
      <c r="K3" s="51" t="s">
        <v>69</v>
      </c>
      <c r="L3" s="87">
        <v>0.02</v>
      </c>
      <c r="M3" s="86">
        <v>0.13</v>
      </c>
      <c r="N3" s="51" t="s">
        <v>69</v>
      </c>
      <c r="O3" s="87">
        <v>0.02</v>
      </c>
      <c r="P3" s="86">
        <v>0.1</v>
      </c>
      <c r="Q3" s="51" t="s">
        <v>69</v>
      </c>
      <c r="R3" s="52">
        <v>0.03</v>
      </c>
    </row>
    <row r="4" spans="1:18" ht="15" thickBot="1" x14ac:dyDescent="0.35">
      <c r="A4" s="58" t="s">
        <v>62</v>
      </c>
      <c r="B4" s="64">
        <v>0</v>
      </c>
      <c r="C4" s="60">
        <v>0</v>
      </c>
      <c r="D4" s="65">
        <v>0</v>
      </c>
      <c r="F4" s="88" t="s">
        <v>71</v>
      </c>
      <c r="G4" s="86">
        <v>0.6</v>
      </c>
      <c r="H4" s="51" t="s">
        <v>69</v>
      </c>
      <c r="I4" s="87">
        <v>0.03</v>
      </c>
      <c r="J4" s="86">
        <v>0.3</v>
      </c>
      <c r="K4" s="51" t="s">
        <v>69</v>
      </c>
      <c r="L4" s="87">
        <v>0.03</v>
      </c>
      <c r="M4" s="86">
        <v>0.23</v>
      </c>
      <c r="N4" s="51" t="s">
        <v>69</v>
      </c>
      <c r="O4" s="87">
        <v>0.03</v>
      </c>
      <c r="P4" s="86">
        <v>0.15</v>
      </c>
      <c r="Q4" s="51" t="s">
        <v>69</v>
      </c>
      <c r="R4" s="52">
        <v>0.05</v>
      </c>
    </row>
    <row r="5" spans="1:18" ht="15" thickBot="1" x14ac:dyDescent="0.35">
      <c r="A5" s="58" t="s">
        <v>63</v>
      </c>
      <c r="B5" s="64">
        <v>0</v>
      </c>
      <c r="C5" s="60">
        <v>0</v>
      </c>
      <c r="D5" s="65">
        <v>0</v>
      </c>
      <c r="F5" s="88" t="s">
        <v>72</v>
      </c>
      <c r="G5" s="86">
        <v>1</v>
      </c>
      <c r="H5" s="84" t="s">
        <v>69</v>
      </c>
      <c r="I5" s="87">
        <v>0.05</v>
      </c>
      <c r="J5" s="86">
        <v>0.5</v>
      </c>
      <c r="K5" s="84" t="s">
        <v>69</v>
      </c>
      <c r="L5" s="87">
        <v>0.05</v>
      </c>
      <c r="M5" s="86">
        <v>0.35</v>
      </c>
      <c r="N5" s="84" t="s">
        <v>69</v>
      </c>
      <c r="O5" s="87">
        <v>0.05</v>
      </c>
      <c r="P5" s="86">
        <v>0.25</v>
      </c>
      <c r="Q5" s="84" t="s">
        <v>69</v>
      </c>
      <c r="R5" s="52">
        <v>0.1</v>
      </c>
    </row>
    <row r="6" spans="1:18" ht="15" thickBot="1" x14ac:dyDescent="0.35">
      <c r="A6" s="58" t="s">
        <v>64</v>
      </c>
      <c r="B6" s="64">
        <v>0.01</v>
      </c>
      <c r="C6" s="60">
        <v>0.01</v>
      </c>
      <c r="D6" s="65">
        <v>0.01</v>
      </c>
      <c r="F6" s="88" t="s">
        <v>73</v>
      </c>
      <c r="G6" s="86">
        <v>1.6</v>
      </c>
      <c r="H6" s="51" t="s">
        <v>69</v>
      </c>
      <c r="I6" s="87">
        <v>0.1</v>
      </c>
      <c r="J6" s="86">
        <v>0.8</v>
      </c>
      <c r="K6" s="51" t="s">
        <v>69</v>
      </c>
      <c r="L6" s="87">
        <v>0.1</v>
      </c>
      <c r="M6" s="86">
        <v>0.45</v>
      </c>
      <c r="N6" s="51" t="s">
        <v>69</v>
      </c>
      <c r="O6" s="87">
        <v>0.1</v>
      </c>
      <c r="P6" s="86">
        <v>0.25</v>
      </c>
      <c r="Q6" s="51" t="s">
        <v>69</v>
      </c>
      <c r="R6" s="52">
        <v>0.15</v>
      </c>
    </row>
    <row r="7" spans="1:18" ht="15" thickBot="1" x14ac:dyDescent="0.35">
      <c r="A7" s="58" t="s">
        <v>65</v>
      </c>
      <c r="B7" s="66">
        <v>0.15</v>
      </c>
      <c r="C7" s="67">
        <v>0.13</v>
      </c>
      <c r="D7" s="68">
        <v>0.1</v>
      </c>
      <c r="F7" s="88" t="s">
        <v>74</v>
      </c>
      <c r="G7" s="86">
        <v>2</v>
      </c>
      <c r="H7" s="51" t="s">
        <v>69</v>
      </c>
      <c r="I7" s="87">
        <v>0.1</v>
      </c>
      <c r="J7" s="86">
        <v>1.25</v>
      </c>
      <c r="K7" s="51" t="s">
        <v>69</v>
      </c>
      <c r="L7" s="87">
        <v>0.1</v>
      </c>
      <c r="M7" s="86">
        <v>0.5</v>
      </c>
      <c r="N7" s="51" t="s">
        <v>69</v>
      </c>
      <c r="O7" s="87">
        <v>0.1</v>
      </c>
      <c r="P7" s="86">
        <v>0.35</v>
      </c>
      <c r="Q7" s="51" t="s">
        <v>69</v>
      </c>
      <c r="R7" s="52">
        <v>0.2</v>
      </c>
    </row>
    <row r="8" spans="1:18" x14ac:dyDescent="0.3">
      <c r="A8" s="99"/>
      <c r="B8" s="99"/>
      <c r="C8" s="99"/>
      <c r="D8" s="99"/>
      <c r="F8" s="88" t="s">
        <v>75</v>
      </c>
      <c r="G8" s="86">
        <v>3.1</v>
      </c>
      <c r="H8" s="84" t="s">
        <v>69</v>
      </c>
      <c r="I8" s="87">
        <v>0.1</v>
      </c>
      <c r="J8" s="86">
        <v>1.6</v>
      </c>
      <c r="K8" s="84" t="s">
        <v>69</v>
      </c>
      <c r="L8" s="87">
        <v>0.1</v>
      </c>
      <c r="M8" s="86">
        <v>0.55000000000000004</v>
      </c>
      <c r="N8" s="84" t="s">
        <v>69</v>
      </c>
      <c r="O8" s="87">
        <v>0.1</v>
      </c>
      <c r="P8" s="86">
        <v>0.4</v>
      </c>
      <c r="Q8" s="84" t="s">
        <v>69</v>
      </c>
      <c r="R8" s="52">
        <v>0.2</v>
      </c>
    </row>
    <row r="9" spans="1:18" ht="15" thickBot="1" x14ac:dyDescent="0.35">
      <c r="A9" s="99"/>
      <c r="B9" s="99"/>
      <c r="C9" s="99"/>
      <c r="D9" s="99"/>
      <c r="F9" s="88" t="s">
        <v>76</v>
      </c>
      <c r="G9" s="86">
        <v>3.1</v>
      </c>
      <c r="H9" s="51" t="s">
        <v>69</v>
      </c>
      <c r="I9" s="87">
        <v>0.1</v>
      </c>
      <c r="J9" s="86">
        <v>2.6</v>
      </c>
      <c r="K9" s="51" t="s">
        <v>69</v>
      </c>
      <c r="L9" s="87">
        <v>0.15</v>
      </c>
      <c r="M9" s="86">
        <v>0.5</v>
      </c>
      <c r="N9" s="51" t="s">
        <v>69</v>
      </c>
      <c r="O9" s="87">
        <v>0.1</v>
      </c>
      <c r="P9" s="86">
        <v>0.5</v>
      </c>
      <c r="Q9" s="51" t="s">
        <v>69</v>
      </c>
      <c r="R9" s="52">
        <v>0.2</v>
      </c>
    </row>
    <row r="10" spans="1:18" ht="15" thickBot="1" x14ac:dyDescent="0.35">
      <c r="B10" s="103">
        <v>1005</v>
      </c>
      <c r="C10" s="102"/>
      <c r="D10" s="133"/>
      <c r="F10" s="88" t="s">
        <v>77</v>
      </c>
      <c r="G10" s="86">
        <v>3.1</v>
      </c>
      <c r="H10" s="51" t="s">
        <v>69</v>
      </c>
      <c r="I10" s="87">
        <v>0.1</v>
      </c>
      <c r="J10" s="86">
        <v>4.5999999999999996</v>
      </c>
      <c r="K10" s="51" t="s">
        <v>69</v>
      </c>
      <c r="L10" s="87">
        <v>0.1</v>
      </c>
      <c r="M10" s="86">
        <v>0.55000000000000004</v>
      </c>
      <c r="N10" s="51" t="s">
        <v>69</v>
      </c>
      <c r="O10" s="87">
        <v>0.1</v>
      </c>
      <c r="P10" s="86">
        <v>0.4</v>
      </c>
      <c r="Q10" s="51" t="s">
        <v>69</v>
      </c>
      <c r="R10" s="52">
        <v>0.2</v>
      </c>
    </row>
    <row r="11" spans="1:18" ht="15" thickBot="1" x14ac:dyDescent="0.35">
      <c r="B11" s="59" t="s">
        <v>59</v>
      </c>
      <c r="C11" s="59" t="s">
        <v>60</v>
      </c>
      <c r="D11" s="59" t="s">
        <v>58</v>
      </c>
      <c r="F11" s="88" t="s">
        <v>78</v>
      </c>
      <c r="G11" s="86">
        <v>5</v>
      </c>
      <c r="H11" s="84" t="s">
        <v>69</v>
      </c>
      <c r="I11" s="87">
        <v>0.1</v>
      </c>
      <c r="J11" s="86">
        <v>2.5</v>
      </c>
      <c r="K11" s="84" t="s">
        <v>69</v>
      </c>
      <c r="L11" s="87">
        <v>0.15</v>
      </c>
      <c r="M11" s="86">
        <v>0.55000000000000004</v>
      </c>
      <c r="N11" s="84" t="s">
        <v>69</v>
      </c>
      <c r="O11" s="87">
        <v>0.1</v>
      </c>
      <c r="P11" s="86">
        <v>0.5</v>
      </c>
      <c r="Q11" s="84" t="s">
        <v>69</v>
      </c>
      <c r="R11" s="52">
        <v>0.2</v>
      </c>
    </row>
    <row r="12" spans="1:18" ht="15" thickBot="1" x14ac:dyDescent="0.35">
      <c r="A12" s="58" t="s">
        <v>61</v>
      </c>
      <c r="B12" s="61">
        <v>0.1</v>
      </c>
      <c r="C12" s="62">
        <v>0.1</v>
      </c>
      <c r="D12" s="63">
        <v>0.1</v>
      </c>
      <c r="F12" s="88" t="s">
        <v>79</v>
      </c>
      <c r="G12" s="86">
        <v>6.35</v>
      </c>
      <c r="H12" s="51" t="s">
        <v>69</v>
      </c>
      <c r="I12" s="87">
        <v>0.1</v>
      </c>
      <c r="J12" s="86">
        <v>3.1</v>
      </c>
      <c r="K12" s="51" t="s">
        <v>69</v>
      </c>
      <c r="L12" s="87">
        <v>0.15</v>
      </c>
      <c r="M12" s="86">
        <v>0.55000000000000004</v>
      </c>
      <c r="N12" s="51" t="s">
        <v>69</v>
      </c>
      <c r="O12" s="87">
        <v>0.1</v>
      </c>
      <c r="P12" s="86">
        <v>0.5</v>
      </c>
      <c r="Q12" s="51" t="s">
        <v>69</v>
      </c>
      <c r="R12" s="52">
        <v>0.2</v>
      </c>
    </row>
    <row r="13" spans="1:18" ht="15" thickBot="1" x14ac:dyDescent="0.35">
      <c r="A13" s="58" t="s">
        <v>62</v>
      </c>
      <c r="B13" s="64">
        <v>0</v>
      </c>
      <c r="C13" s="60">
        <v>0</v>
      </c>
      <c r="D13" s="65">
        <v>0</v>
      </c>
      <c r="F13" s="90" t="s">
        <v>80</v>
      </c>
      <c r="G13" s="91">
        <v>6.35</v>
      </c>
      <c r="H13" s="57" t="s">
        <v>69</v>
      </c>
      <c r="I13" s="92">
        <v>0.1</v>
      </c>
      <c r="J13" s="91">
        <v>3.1</v>
      </c>
      <c r="K13" s="57" t="s">
        <v>69</v>
      </c>
      <c r="L13" s="92">
        <v>0.15</v>
      </c>
      <c r="M13" s="91">
        <v>0.55000000000000004</v>
      </c>
      <c r="N13" s="57" t="s">
        <v>69</v>
      </c>
      <c r="O13" s="92">
        <v>0.1</v>
      </c>
      <c r="P13" s="91">
        <v>1.1499999999999999</v>
      </c>
      <c r="Q13" s="57" t="s">
        <v>69</v>
      </c>
      <c r="R13" s="93">
        <v>0.2</v>
      </c>
    </row>
    <row r="14" spans="1:18" ht="15" thickBot="1" x14ac:dyDescent="0.35">
      <c r="A14" s="58" t="s">
        <v>63</v>
      </c>
      <c r="B14" s="64">
        <v>0</v>
      </c>
      <c r="C14" s="60">
        <v>0</v>
      </c>
      <c r="D14" s="65">
        <v>0</v>
      </c>
    </row>
    <row r="15" spans="1:18" ht="15" thickBot="1" x14ac:dyDescent="0.35">
      <c r="A15" s="58" t="s">
        <v>64</v>
      </c>
      <c r="B15" s="64">
        <v>0.01</v>
      </c>
      <c r="C15" s="60">
        <v>0.01</v>
      </c>
      <c r="D15" s="65">
        <v>0.01</v>
      </c>
    </row>
    <row r="16" spans="1:18" ht="15" thickBot="1" x14ac:dyDescent="0.35">
      <c r="A16" s="58" t="s">
        <v>65</v>
      </c>
      <c r="B16" s="66">
        <v>0.15</v>
      </c>
      <c r="C16" s="67">
        <v>0.13</v>
      </c>
      <c r="D16" s="68">
        <v>0.1</v>
      </c>
    </row>
    <row r="18" spans="1:4" ht="15" thickBot="1" x14ac:dyDescent="0.35"/>
    <row r="19" spans="1:4" ht="15" thickBot="1" x14ac:dyDescent="0.35">
      <c r="B19" s="128">
        <v>201</v>
      </c>
      <c r="C19" s="129"/>
      <c r="D19" s="130"/>
    </row>
    <row r="20" spans="1:4" ht="15" thickBot="1" x14ac:dyDescent="0.35">
      <c r="B20" s="59" t="s">
        <v>59</v>
      </c>
      <c r="C20" s="59" t="s">
        <v>60</v>
      </c>
      <c r="D20" s="59" t="s">
        <v>58</v>
      </c>
    </row>
    <row r="21" spans="1:4" ht="15" thickBot="1" x14ac:dyDescent="0.35">
      <c r="A21" s="58" t="s">
        <v>61</v>
      </c>
      <c r="B21" s="61">
        <v>0.12</v>
      </c>
      <c r="C21" s="62">
        <v>0.12</v>
      </c>
      <c r="D21" s="63">
        <v>0.12</v>
      </c>
    </row>
    <row r="22" spans="1:4" ht="15" thickBot="1" x14ac:dyDescent="0.35">
      <c r="A22" s="58" t="s">
        <v>62</v>
      </c>
      <c r="B22" s="64">
        <v>0</v>
      </c>
      <c r="C22" s="60">
        <v>0</v>
      </c>
      <c r="D22" s="65">
        <v>0</v>
      </c>
    </row>
    <row r="23" spans="1:4" ht="15" thickBot="1" x14ac:dyDescent="0.35">
      <c r="A23" s="58" t="s">
        <v>63</v>
      </c>
      <c r="B23" s="64">
        <v>0</v>
      </c>
      <c r="C23" s="60">
        <v>0</v>
      </c>
      <c r="D23" s="65">
        <v>0</v>
      </c>
    </row>
    <row r="24" spans="1:4" ht="15" thickBot="1" x14ac:dyDescent="0.35">
      <c r="A24" s="58" t="s">
        <v>64</v>
      </c>
      <c r="B24" s="64">
        <v>0.01</v>
      </c>
      <c r="C24" s="60">
        <v>0.01</v>
      </c>
      <c r="D24" s="65">
        <v>0.01</v>
      </c>
    </row>
    <row r="25" spans="1:4" ht="15" thickBot="1" x14ac:dyDescent="0.35">
      <c r="A25" s="58" t="s">
        <v>65</v>
      </c>
      <c r="B25" s="66">
        <v>0.15</v>
      </c>
      <c r="C25" s="67">
        <v>0.13</v>
      </c>
      <c r="D25" s="68">
        <v>0.1</v>
      </c>
    </row>
    <row r="27" spans="1:4" ht="15" thickBot="1" x14ac:dyDescent="0.35"/>
    <row r="28" spans="1:4" ht="15" thickBot="1" x14ac:dyDescent="0.35">
      <c r="B28" s="128">
        <v>402</v>
      </c>
      <c r="C28" s="129"/>
      <c r="D28" s="130"/>
    </row>
    <row r="29" spans="1:4" ht="15" thickBot="1" x14ac:dyDescent="0.35">
      <c r="B29" s="59" t="s">
        <v>59</v>
      </c>
      <c r="C29" s="59" t="s">
        <v>60</v>
      </c>
      <c r="D29" s="59" t="s">
        <v>58</v>
      </c>
    </row>
    <row r="30" spans="1:4" ht="15" thickBot="1" x14ac:dyDescent="0.35">
      <c r="A30" s="58" t="s">
        <v>61</v>
      </c>
      <c r="B30" s="61">
        <v>0.15</v>
      </c>
      <c r="C30" s="62">
        <v>0.15</v>
      </c>
      <c r="D30" s="63">
        <v>0.15</v>
      </c>
    </row>
    <row r="31" spans="1:4" ht="15" thickBot="1" x14ac:dyDescent="0.35">
      <c r="A31" s="58" t="s">
        <v>62</v>
      </c>
      <c r="B31" s="64">
        <v>0</v>
      </c>
      <c r="C31" s="60">
        <v>0</v>
      </c>
      <c r="D31" s="65">
        <v>0</v>
      </c>
    </row>
    <row r="32" spans="1:4" ht="15" thickBot="1" x14ac:dyDescent="0.35">
      <c r="A32" s="58" t="s">
        <v>63</v>
      </c>
      <c r="B32" s="64">
        <v>0</v>
      </c>
      <c r="C32" s="60">
        <v>0</v>
      </c>
      <c r="D32" s="65">
        <v>0</v>
      </c>
    </row>
    <row r="33" spans="1:4" ht="15" thickBot="1" x14ac:dyDescent="0.35">
      <c r="A33" s="58" t="s">
        <v>64</v>
      </c>
      <c r="B33" s="64">
        <v>0.01</v>
      </c>
      <c r="C33" s="60">
        <v>0.01</v>
      </c>
      <c r="D33" s="65">
        <v>0.01</v>
      </c>
    </row>
    <row r="34" spans="1:4" ht="15" thickBot="1" x14ac:dyDescent="0.35">
      <c r="A34" s="58" t="s">
        <v>65</v>
      </c>
      <c r="B34" s="66">
        <v>0.15</v>
      </c>
      <c r="C34" s="67">
        <v>0.13</v>
      </c>
      <c r="D34" s="68">
        <v>0.1</v>
      </c>
    </row>
    <row r="36" spans="1:4" ht="15" thickBot="1" x14ac:dyDescent="0.35"/>
    <row r="37" spans="1:4" ht="15" thickBot="1" x14ac:dyDescent="0.35">
      <c r="B37" s="128">
        <v>603</v>
      </c>
      <c r="C37" s="129"/>
      <c r="D37" s="130"/>
    </row>
    <row r="38" spans="1:4" ht="15" thickBot="1" x14ac:dyDescent="0.35">
      <c r="B38" s="59" t="s">
        <v>59</v>
      </c>
      <c r="C38" s="59" t="s">
        <v>60</v>
      </c>
      <c r="D38" s="59" t="s">
        <v>58</v>
      </c>
    </row>
    <row r="39" spans="1:4" ht="15" thickBot="1" x14ac:dyDescent="0.35">
      <c r="A39" s="58" t="s">
        <v>61</v>
      </c>
      <c r="B39" s="61">
        <v>0.55000000000000004</v>
      </c>
      <c r="C39" s="62">
        <v>0.35</v>
      </c>
      <c r="D39" s="63">
        <v>0.15</v>
      </c>
    </row>
    <row r="40" spans="1:4" ht="15" thickBot="1" x14ac:dyDescent="0.35">
      <c r="A40" s="58" t="s">
        <v>62</v>
      </c>
      <c r="B40" s="64">
        <v>0</v>
      </c>
      <c r="C40" s="60">
        <v>0</v>
      </c>
      <c r="D40" s="65">
        <v>0</v>
      </c>
    </row>
    <row r="41" spans="1:4" ht="15" thickBot="1" x14ac:dyDescent="0.35">
      <c r="A41" s="58" t="s">
        <v>63</v>
      </c>
      <c r="B41" s="64">
        <v>0.05</v>
      </c>
      <c r="C41" s="60">
        <v>0</v>
      </c>
      <c r="D41" s="65">
        <v>-0.05</v>
      </c>
    </row>
    <row r="42" spans="1:4" ht="15" thickBot="1" x14ac:dyDescent="0.35">
      <c r="A42" s="58" t="s">
        <v>64</v>
      </c>
      <c r="B42" s="64">
        <v>0.01</v>
      </c>
      <c r="C42" s="60">
        <v>0.01</v>
      </c>
      <c r="D42" s="65">
        <v>0.01</v>
      </c>
    </row>
    <row r="43" spans="1:4" ht="15" thickBot="1" x14ac:dyDescent="0.35">
      <c r="A43" s="58" t="s">
        <v>65</v>
      </c>
      <c r="B43" s="66">
        <v>0.5</v>
      </c>
      <c r="C43" s="67">
        <v>0.25</v>
      </c>
      <c r="D43" s="68">
        <v>0.12</v>
      </c>
    </row>
  </sheetData>
  <mergeCells count="9">
    <mergeCell ref="B37:D37"/>
    <mergeCell ref="J1:L1"/>
    <mergeCell ref="M1:O1"/>
    <mergeCell ref="P1:R1"/>
    <mergeCell ref="B1:D1"/>
    <mergeCell ref="B19:D19"/>
    <mergeCell ref="B28:D28"/>
    <mergeCell ref="G1:I1"/>
    <mergeCell ref="B10:D1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Constants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Grigoryev, Art (PMF)</dc:creator>
  <cp:lastModifiedBy>Grigoryev, Art (PMF)</cp:lastModifiedBy>
  <dcterms:created xsi:type="dcterms:W3CDTF">2015-08-18T13:30:48Z</dcterms:created>
  <dcterms:modified xsi:type="dcterms:W3CDTF">2015-08-19T19:53:56Z</dcterms:modified>
</cp:coreProperties>
</file>